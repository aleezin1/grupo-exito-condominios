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a\Documents\grupoexitocondominios\docs\hospedagem\"/>
    </mc:Choice>
  </mc:AlternateContent>
  <xr:revisionPtr revIDLastSave="0" documentId="13_ncr:1_{7E480970-CA59-468E-8459-8C328A8DD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HostGator" sheetId="2" r:id="rId2"/>
    <sheet name="Hostinger" sheetId="3" r:id="rId3"/>
    <sheet name="Umbler" sheetId="4" r:id="rId4"/>
  </sheets>
  <calcPr calcId="191029"/>
</workbook>
</file>

<file path=xl/calcChain.xml><?xml version="1.0" encoding="utf-8"?>
<calcChain xmlns="http://schemas.openxmlformats.org/spreadsheetml/2006/main">
  <c r="C9" i="4" l="1"/>
  <c r="C8" i="4"/>
  <c r="C7" i="4"/>
  <c r="C6" i="4"/>
  <c r="C5" i="4"/>
  <c r="F9" i="3"/>
  <c r="E9" i="3"/>
  <c r="F8" i="3"/>
  <c r="E8" i="3"/>
  <c r="F7" i="3"/>
  <c r="E7" i="3"/>
  <c r="F6" i="3"/>
  <c r="G6" i="3" s="1"/>
  <c r="E6" i="3"/>
  <c r="F21" i="1"/>
  <c r="C21" i="1"/>
  <c r="E21" i="1" s="1"/>
  <c r="F20" i="1"/>
  <c r="C20" i="1"/>
  <c r="E20" i="1" s="1"/>
  <c r="F19" i="1"/>
  <c r="C19" i="1"/>
  <c r="E19" i="1" s="1"/>
  <c r="F18" i="1"/>
  <c r="C18" i="1"/>
  <c r="E18" i="1" s="1"/>
  <c r="G18" i="1" s="1"/>
  <c r="F17" i="1"/>
  <c r="C17" i="1"/>
  <c r="E17" i="1" s="1"/>
  <c r="F16" i="1"/>
  <c r="C16" i="1"/>
  <c r="E16" i="1" s="1"/>
  <c r="F15" i="1"/>
  <c r="C15" i="1"/>
  <c r="E15" i="1" s="1"/>
  <c r="G15" i="1" s="1"/>
  <c r="F14" i="1"/>
  <c r="C14" i="1"/>
  <c r="E14" i="1" s="1"/>
  <c r="G14" i="1" s="1"/>
  <c r="F13" i="1"/>
  <c r="C13" i="1"/>
  <c r="E13" i="1" s="1"/>
  <c r="G13" i="1" s="1"/>
  <c r="F12" i="1"/>
  <c r="C12" i="1"/>
  <c r="E12" i="1" s="1"/>
  <c r="F11" i="1"/>
  <c r="C11" i="1"/>
  <c r="E11" i="1" s="1"/>
  <c r="F10" i="1"/>
  <c r="C10" i="1"/>
  <c r="E10" i="1" s="1"/>
  <c r="G10" i="1" s="1"/>
  <c r="G7" i="3" l="1"/>
  <c r="G16" i="1"/>
  <c r="G8" i="3"/>
  <c r="G9" i="3"/>
  <c r="G21" i="1"/>
  <c r="G17" i="1"/>
  <c r="G11" i="1"/>
  <c r="G19" i="1"/>
  <c r="G12" i="1"/>
  <c r="G20" i="1"/>
  <c r="C23" i="1"/>
  <c r="D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scheme val="minor"/>
          </rPr>
          <t>Valor estimado do domínio .com.br no Registro.br (R$ 40,00/ano). Confirmar em https://registro.br antes de usar.</t>
        </r>
      </text>
    </comment>
  </commentList>
</comments>
</file>

<file path=xl/sharedStrings.xml><?xml version="1.0" encoding="utf-8"?>
<sst xmlns="http://schemas.openxmlformats.org/spreadsheetml/2006/main" count="210" uniqueCount="132">
  <si>
    <t>Relatório de orçamento de hospedagem e domínio</t>
  </si>
  <si>
    <t>Projeto acadêmico Grupo Êxito Condomínios - comparação feita em 14/10/2026</t>
  </si>
  <si>
    <t>Meses considerados no orçamento</t>
  </si>
  <si>
    <t>Domínio .com.br por ano</t>
  </si>
  <si>
    <t>Comparativo do primeiro ano</t>
  </si>
  <si>
    <t>Empresa</t>
  </si>
  <si>
    <t>Plano</t>
  </si>
  <si>
    <t>Preço/mês</t>
  </si>
  <si>
    <t>Domínio grátis no 1º ano?</t>
  </si>
  <si>
    <t>Hospedagem no período</t>
  </si>
  <si>
    <t>Domínio no período</t>
  </si>
  <si>
    <t>Total no período</t>
  </si>
  <si>
    <t>Contrato</t>
  </si>
  <si>
    <t>Observação</t>
  </si>
  <si>
    <t>HostGator</t>
  </si>
  <si>
    <t>Plano P</t>
  </si>
  <si>
    <t>Sim</t>
  </si>
  <si>
    <t>3 anos</t>
  </si>
  <si>
    <t>1 site e 1 domínio grátis.</t>
  </si>
  <si>
    <t>Plano M</t>
  </si>
  <si>
    <t>Mais de 60 sites e 2 domínios grátis.</t>
  </si>
  <si>
    <t>Plano Turbo</t>
  </si>
  <si>
    <t>Para sites com muito acesso; 3 domínios grátis.</t>
  </si>
  <si>
    <t>Hostinger</t>
  </si>
  <si>
    <t>Single</t>
  </si>
  <si>
    <t>Não</t>
  </si>
  <si>
    <t>48 meses</t>
  </si>
  <si>
    <t>Mais barato por mês, mas sem domínio.</t>
  </si>
  <si>
    <t>Premium</t>
  </si>
  <si>
    <t>Até 3 sites e domínio grátis por 1 ano.</t>
  </si>
  <si>
    <t>Unlimited</t>
  </si>
  <si>
    <t>Inclui CDN, IA e suporte prioritário.</t>
  </si>
  <si>
    <t>Cloud Startup</t>
  </si>
  <si>
    <t>Feito para sites com muito acesso.</t>
  </si>
  <si>
    <t>Umbler</t>
  </si>
  <si>
    <t>Mensal</t>
  </si>
  <si>
    <t>Servidor em nuvem; muito para um site só de HTML e CSS.</t>
  </si>
  <si>
    <t>Plano mais vendido da Umbler.</t>
  </si>
  <si>
    <t>Menor custo no período</t>
  </si>
  <si>
    <t>Conclusão do grupo</t>
  </si>
  <si>
    <t>1. Nosso site é feito só com HTML, CSS e JavaScript, então não precisa de servidor em nuvem nem de banco de dados. Os planos da Umbler são mais do que precisamos.</t>
  </si>
  <si>
    <t>2. Hostinger Single é o mais barato por mês, mas não tem domínio grátis. Somando o domínio, fica perto do HostGator Plano P e do Hostinger Premium.</t>
  </si>
  <si>
    <t>3. HostGator Plano P e Hostinger Premium já incluem o domínio e custam quase o mesmo. Para um site institucional pequeno, qualquer um dos dois atende.</t>
  </si>
  <si>
    <t>4. Atenção: os preços promocionais exigem pagar o contrato inteiro de uma vez (HostGator: 3 anos, a partir de R$ 361,61; Hostinger: 48 meses, a partir de R$ 287,52). Depois, o preço sobe.</t>
  </si>
  <si>
    <t>5. Os valores são dos prints de 14/10/2026 e podem mudar. Confirme no site antes de contratar.</t>
  </si>
  <si>
    <t>Legenda</t>
  </si>
  <si>
    <t>Texto azul</t>
  </si>
  <si>
    <t>Valor digitado a partir dos prints</t>
  </si>
  <si>
    <t>Texto preto</t>
  </si>
  <si>
    <t>Valor calculado por fórmula</t>
  </si>
  <si>
    <t>Texto verde</t>
  </si>
  <si>
    <t>Valor puxado de outra aba</t>
  </si>
  <si>
    <t>HostGator - Planos de hospedagem (ciclo de 3 anos)</t>
  </si>
  <si>
    <t>Fonte: print da página da HostGator (docs/hospedagem/hostgator.png), consultado em 14/10/2026.</t>
  </si>
  <si>
    <t>Meses pagos no ciclo:</t>
  </si>
  <si>
    <t>+3 meses grátis no ciclo de 3 anos</t>
  </si>
  <si>
    <t>Desconto</t>
  </si>
  <si>
    <t>Total 3 anos (print)</t>
  </si>
  <si>
    <t>Preço sem desconto 3 anos</t>
  </si>
  <si>
    <t>Economia (print)</t>
  </si>
  <si>
    <t>Domínios grátis</t>
  </si>
  <si>
    <t>Sites</t>
  </si>
  <si>
    <t>Armazenamento</t>
  </si>
  <si>
    <t>Visitas/mês</t>
  </si>
  <si>
    <t>Contas de e-mail</t>
  </si>
  <si>
    <t>Servidores</t>
  </si>
  <si>
    <t>1</t>
  </si>
  <si>
    <t>100 GB NVMe</t>
  </si>
  <si>
    <t>Até 80 mil</t>
  </si>
  <si>
    <t>Ilimitadas por 1 ano</t>
  </si>
  <si>
    <t>No Brasil</t>
  </si>
  <si>
    <t>+60</t>
  </si>
  <si>
    <t>Até 120 mil</t>
  </si>
  <si>
    <t>+150</t>
  </si>
  <si>
    <t>150 GB NVMe</t>
  </si>
  <si>
    <t>Até 400 mil</t>
  </si>
  <si>
    <t>Todos os valores em azul foram copiados do print. O preço por mês tem asterisco no site.</t>
  </si>
  <si>
    <t>O total de 3 anos é pago de uma vez. Ele não é exatamente o preço/mês x 36, porque o site arredonda o valor mensal.</t>
  </si>
  <si>
    <t>A economia mostrada pelo site também não é igual a (preço sem desconto - total). Por isso copiamos o valor do print, sem calcular.</t>
  </si>
  <si>
    <t>Hostinger - Planos de hospedagem (contrato de 48 meses)</t>
  </si>
  <si>
    <t>Fonte: print da página da Hostinger (docs/hospedagem/hostinger.png), consultado em 14/10/2026.</t>
  </si>
  <si>
    <t>Meses do contrato:</t>
  </si>
  <si>
    <t>Preço normal/mês</t>
  </si>
  <si>
    <t>Preço promocional/mês</t>
  </si>
  <si>
    <t>Total do contrato</t>
  </si>
  <si>
    <t>Total sem desconto</t>
  </si>
  <si>
    <t>Economia</t>
  </si>
  <si>
    <t>Renovação/mês</t>
  </si>
  <si>
    <t>Domínio</t>
  </si>
  <si>
    <t>Backups</t>
  </si>
  <si>
    <t>Comércio eletrônico</t>
  </si>
  <si>
    <t>CDN</t>
  </si>
  <si>
    <t>Ferramentas de IA</t>
  </si>
  <si>
    <t>Suporte prioritário 24h</t>
  </si>
  <si>
    <t>10 GB SSD</t>
  </si>
  <si>
    <t>Não incluso</t>
  </si>
  <si>
    <t>Semanais</t>
  </si>
  <si>
    <t>3</t>
  </si>
  <si>
    <t>20 GB SSD</t>
  </si>
  <si>
    <t>Grátis por 1 ano</t>
  </si>
  <si>
    <t>Ilimitado</t>
  </si>
  <si>
    <t>50 GB NVMe</t>
  </si>
  <si>
    <t>Diários</t>
  </si>
  <si>
    <t>Diários e sob demanda</t>
  </si>
  <si>
    <t>Conferência: o total do contrato calculado bate com o valor do print (ex.: Single 48 x R$ 5,99 = R$ 287,52). Depois dos 48 meses, o valor passa a ser o de renovação.</t>
  </si>
  <si>
    <t>Umbler - Plano Elástico (valores estimados por mês)</t>
  </si>
  <si>
    <t>Fonte: print da página da Umbler (docs/hospedagem/umbler.png), consultado em 14/10/2026.</t>
  </si>
  <si>
    <t>Custo 12 meses</t>
  </si>
  <si>
    <t>RAM</t>
  </si>
  <si>
    <t>Disco SSD</t>
  </si>
  <si>
    <t>CPU</t>
  </si>
  <si>
    <t>Banco de dados</t>
  </si>
  <si>
    <t>Destaque</t>
  </si>
  <si>
    <t>Elástico 29</t>
  </si>
  <si>
    <t>512 MB</t>
  </si>
  <si>
    <t>1 GB</t>
  </si>
  <si>
    <t>2 Cores</t>
  </si>
  <si>
    <t>Elástico 39</t>
  </si>
  <si>
    <t>10 GB</t>
  </si>
  <si>
    <t>Mais vendido</t>
  </si>
  <si>
    <t>Elástico 60</t>
  </si>
  <si>
    <t>2 GB</t>
  </si>
  <si>
    <t>20 GB</t>
  </si>
  <si>
    <t>3 Cores</t>
  </si>
  <si>
    <t>Elástico 195</t>
  </si>
  <si>
    <t>6 GB</t>
  </si>
  <si>
    <t>40 GB</t>
  </si>
  <si>
    <t>4 Cores</t>
  </si>
  <si>
    <t>Elástico 275</t>
  </si>
  <si>
    <t>8 GB</t>
  </si>
  <si>
    <t>6 Cores</t>
  </si>
  <si>
    <t>Os nomes dos planos foram criados pelo grupo a partir do preço, porque o print não mostra nome. O print não informa domínio grátis.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</si>
</sst>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\(\R\$\ #,##0.00\);&quot;-&quot;"/>
  </numFmts>
  <fonts count="23" x14ac:knownFonts="1">
    <font>
      <sz val="11"/>
      <color theme="1"/>
      <name val="Calibri"/>
      <scheme val="minor"/>
    </font>
    <font>
      <b/>
      <sz val="14"/>
      <color rgb="FF06152D"/>
      <name val="Arial"/>
    </font>
    <font>
      <i/>
      <sz val="9"/>
      <color rgb="FF526071"/>
      <name val="Arial"/>
    </font>
    <font>
      <b/>
      <sz val="11"/>
      <color rgb="FF06152D"/>
      <name val="Arial"/>
    </font>
    <font>
      <sz val="10"/>
      <color theme="1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theme="1"/>
      <name val="Arial"/>
    </font>
    <font>
      <b/>
      <sz val="14"/>
      <color rgb="FF06152D"/>
      <name val="Arial"/>
    </font>
    <font>
      <i/>
      <sz val="9"/>
      <color rgb="FF526071"/>
      <name val="Arial"/>
    </font>
    <font>
      <b/>
      <sz val="10"/>
      <name val="Arial"/>
    </font>
    <font>
      <b/>
      <sz val="10"/>
      <color rgb="FF0000FF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8000"/>
      <name val="Arial"/>
    </font>
    <font>
      <b/>
      <sz val="11"/>
      <color rgb="FF06152D"/>
      <name val="Arial"/>
    </font>
    <font>
      <sz val="10"/>
      <name val="Arial"/>
    </font>
    <font>
      <b/>
      <sz val="10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6152D"/>
        <bgColor rgb="FF06152D"/>
      </patternFill>
    </fill>
    <fill>
      <patternFill patternType="solid">
        <fgColor rgb="FFFFFF00"/>
      </patternFill>
    </fill>
    <fill>
      <patternFill patternType="solid">
        <fgColor rgb="FF06152D"/>
      </patternFill>
    </fill>
    <fill>
      <patternFill patternType="solid">
        <fgColor rgb="FFF1F5F9"/>
      </patternFill>
    </fill>
    <fill>
      <patternFill patternType="solid">
        <fgColor rgb="FFD6F7FF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9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/>
    <xf numFmtId="0" fontId="5" fillId="2" borderId="2" xfId="0" applyFont="1" applyFill="1" applyBorder="1"/>
    <xf numFmtId="0" fontId="9" fillId="0" borderId="1" xfId="0" applyFont="1" applyBorder="1" applyAlignment="1">
      <alignment vertical="center" wrapText="1"/>
    </xf>
    <xf numFmtId="0" fontId="17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164" fontId="19" fillId="0" borderId="3" xfId="0" applyNumberFormat="1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4" fontId="18" fillId="0" borderId="3" xfId="0" applyNumberFormat="1" applyFont="1" applyBorder="1" applyAlignment="1">
      <alignment vertical="center"/>
    </xf>
    <xf numFmtId="164" fontId="17" fillId="0" borderId="3" xfId="0" applyNumberFormat="1" applyFont="1" applyBorder="1" applyAlignment="1">
      <alignment vertical="center"/>
    </xf>
    <xf numFmtId="0" fontId="18" fillId="0" borderId="3" xfId="0" applyFont="1" applyBorder="1" applyAlignment="1">
      <alignment vertical="center" wrapText="1"/>
    </xf>
    <xf numFmtId="0" fontId="17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vertical="center"/>
    </xf>
    <xf numFmtId="164" fontId="19" fillId="6" borderId="3" xfId="0" applyNumberFormat="1" applyFont="1" applyFill="1" applyBorder="1" applyAlignment="1">
      <alignment vertical="center"/>
    </xf>
    <xf numFmtId="0" fontId="15" fillId="6" borderId="3" xfId="0" applyFont="1" applyFill="1" applyBorder="1" applyAlignment="1">
      <alignment horizontal="center" vertical="center"/>
    </xf>
    <xf numFmtId="164" fontId="18" fillId="6" borderId="3" xfId="0" applyNumberFormat="1" applyFont="1" applyFill="1" applyBorder="1" applyAlignment="1">
      <alignment vertical="center"/>
    </xf>
    <xf numFmtId="164" fontId="17" fillId="6" borderId="3" xfId="0" applyNumberFormat="1" applyFont="1" applyFill="1" applyBorder="1" applyAlignment="1">
      <alignment vertical="center"/>
    </xf>
    <xf numFmtId="0" fontId="18" fillId="6" borderId="3" xfId="0" applyFont="1" applyFill="1" applyBorder="1" applyAlignment="1">
      <alignment vertical="center" wrapText="1"/>
    </xf>
    <xf numFmtId="0" fontId="13" fillId="7" borderId="0" xfId="0" applyFont="1" applyFill="1"/>
    <xf numFmtId="0" fontId="0" fillId="7" borderId="0" xfId="0" applyFill="1"/>
    <xf numFmtId="164" fontId="13" fillId="7" borderId="0" xfId="0" applyNumberFormat="1" applyFont="1" applyFill="1"/>
    <xf numFmtId="0" fontId="20" fillId="0" borderId="0" xfId="0" applyFont="1"/>
    <xf numFmtId="0" fontId="14" fillId="0" borderId="0" xfId="0" applyFont="1"/>
    <xf numFmtId="0" fontId="21" fillId="0" borderId="0" xfId="0" applyFont="1"/>
    <xf numFmtId="0" fontId="17" fillId="0" borderId="0" xfId="0" applyFont="1"/>
    <xf numFmtId="0" fontId="22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4" borderId="0" xfId="0" applyFont="1" applyFill="1"/>
    <xf numFmtId="0" fontId="15" fillId="0" borderId="0" xfId="0" applyFont="1"/>
    <xf numFmtId="0" fontId="16" fillId="5" borderId="3" xfId="0" applyFont="1" applyFill="1" applyBorder="1" applyAlignment="1">
      <alignment horizontal="center" vertical="center" wrapText="1"/>
    </xf>
    <xf numFmtId="9" fontId="15" fillId="0" borderId="3" xfId="0" applyNumberFormat="1" applyFont="1" applyBorder="1" applyAlignment="1">
      <alignment vertical="center"/>
    </xf>
    <xf numFmtId="164" fontId="15" fillId="0" borderId="3" xfId="0" applyNumberFormat="1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2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showGridLines="0" tabSelected="1" workbookViewId="0"/>
  </sheetViews>
  <sheetFormatPr defaultColWidth="14.42578125" defaultRowHeight="15" customHeight="1" x14ac:dyDescent="0.25"/>
  <cols>
    <col min="1" max="1" width="36.42578125" customWidth="1"/>
    <col min="2" max="2" width="15" customWidth="1"/>
    <col min="3" max="3" width="12" customWidth="1"/>
    <col min="4" max="5" width="14" customWidth="1"/>
    <col min="6" max="6" width="13" customWidth="1"/>
    <col min="7" max="7" width="14" customWidth="1"/>
    <col min="8" max="8" width="20" customWidth="1"/>
    <col min="9" max="9" width="46" customWidth="1"/>
    <col min="10" max="26" width="8.7109375" customWidth="1"/>
  </cols>
  <sheetData>
    <row r="1" spans="1:9" ht="18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3"/>
    </row>
    <row r="5" spans="1:9" x14ac:dyDescent="0.25">
      <c r="A5" s="4" t="s">
        <v>2</v>
      </c>
      <c r="B5" s="5">
        <v>12</v>
      </c>
    </row>
    <row r="6" spans="1:9" x14ac:dyDescent="0.25">
      <c r="A6" s="4" t="s">
        <v>3</v>
      </c>
      <c r="B6" s="6">
        <v>40</v>
      </c>
    </row>
    <row r="8" spans="1:9" x14ac:dyDescent="0.25">
      <c r="A8" s="3" t="s">
        <v>4</v>
      </c>
    </row>
    <row r="9" spans="1:9" ht="39.75" customHeight="1" x14ac:dyDescent="0.25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13</v>
      </c>
    </row>
    <row r="10" spans="1:9" x14ac:dyDescent="0.25">
      <c r="A10" s="16" t="s">
        <v>14</v>
      </c>
      <c r="B10" s="17" t="s">
        <v>15</v>
      </c>
      <c r="C10" s="18">
        <f>HostGator!C6</f>
        <v>10.09</v>
      </c>
      <c r="D10" s="19" t="s">
        <v>16</v>
      </c>
      <c r="E10" s="20">
        <f t="shared" ref="E10:E21" si="0">C10*$B$5</f>
        <v>121.08</v>
      </c>
      <c r="F10" s="20">
        <f t="shared" ref="F10:F21" si="1">IF(D10="Sim",0,$B$6*ROUNDUP($B$5/12,0))</f>
        <v>0</v>
      </c>
      <c r="G10" s="21">
        <f t="shared" ref="G10:G21" si="2">E10+F10</f>
        <v>121.08</v>
      </c>
      <c r="H10" s="17" t="s">
        <v>17</v>
      </c>
      <c r="I10" s="22" t="s">
        <v>18</v>
      </c>
    </row>
    <row r="11" spans="1:9" x14ac:dyDescent="0.25">
      <c r="A11" s="23" t="s">
        <v>14</v>
      </c>
      <c r="B11" s="24" t="s">
        <v>19</v>
      </c>
      <c r="C11" s="25">
        <f>HostGator!C7</f>
        <v>11.49</v>
      </c>
      <c r="D11" s="26" t="s">
        <v>16</v>
      </c>
      <c r="E11" s="27">
        <f t="shared" si="0"/>
        <v>137.88</v>
      </c>
      <c r="F11" s="27">
        <f t="shared" si="1"/>
        <v>0</v>
      </c>
      <c r="G11" s="28">
        <f t="shared" si="2"/>
        <v>137.88</v>
      </c>
      <c r="H11" s="24" t="s">
        <v>17</v>
      </c>
      <c r="I11" s="29" t="s">
        <v>20</v>
      </c>
    </row>
    <row r="12" spans="1:9" x14ac:dyDescent="0.25">
      <c r="A12" s="16" t="s">
        <v>14</v>
      </c>
      <c r="B12" s="17" t="s">
        <v>21</v>
      </c>
      <c r="C12" s="18">
        <f>HostGator!C8</f>
        <v>18.690000000000001</v>
      </c>
      <c r="D12" s="19" t="s">
        <v>16</v>
      </c>
      <c r="E12" s="20">
        <f t="shared" si="0"/>
        <v>224.28000000000003</v>
      </c>
      <c r="F12" s="20">
        <f t="shared" si="1"/>
        <v>0</v>
      </c>
      <c r="G12" s="21">
        <f t="shared" si="2"/>
        <v>224.28000000000003</v>
      </c>
      <c r="H12" s="17" t="s">
        <v>17</v>
      </c>
      <c r="I12" s="22" t="s">
        <v>22</v>
      </c>
    </row>
    <row r="13" spans="1:9" x14ac:dyDescent="0.25">
      <c r="A13" s="23" t="s">
        <v>23</v>
      </c>
      <c r="B13" s="24" t="s">
        <v>24</v>
      </c>
      <c r="C13" s="25">
        <f>Hostinger!D6</f>
        <v>5.99</v>
      </c>
      <c r="D13" s="26" t="s">
        <v>25</v>
      </c>
      <c r="E13" s="27">
        <f t="shared" si="0"/>
        <v>71.88</v>
      </c>
      <c r="F13" s="27">
        <f t="shared" si="1"/>
        <v>40</v>
      </c>
      <c r="G13" s="28">
        <f t="shared" si="2"/>
        <v>111.88</v>
      </c>
      <c r="H13" s="24" t="s">
        <v>26</v>
      </c>
      <c r="I13" s="29" t="s">
        <v>27</v>
      </c>
    </row>
    <row r="14" spans="1:9" x14ac:dyDescent="0.25">
      <c r="A14" s="16" t="s">
        <v>23</v>
      </c>
      <c r="B14" s="17" t="s">
        <v>28</v>
      </c>
      <c r="C14" s="18">
        <f>Hostinger!D7</f>
        <v>10.99</v>
      </c>
      <c r="D14" s="19" t="s">
        <v>16</v>
      </c>
      <c r="E14" s="20">
        <f t="shared" si="0"/>
        <v>131.88</v>
      </c>
      <c r="F14" s="20">
        <f t="shared" si="1"/>
        <v>0</v>
      </c>
      <c r="G14" s="21">
        <f t="shared" si="2"/>
        <v>131.88</v>
      </c>
      <c r="H14" s="17" t="s">
        <v>26</v>
      </c>
      <c r="I14" s="22" t="s">
        <v>29</v>
      </c>
    </row>
    <row r="15" spans="1:9" x14ac:dyDescent="0.25">
      <c r="A15" s="23" t="s">
        <v>23</v>
      </c>
      <c r="B15" s="24" t="s">
        <v>30</v>
      </c>
      <c r="C15" s="25">
        <f>Hostinger!D8</f>
        <v>13.99</v>
      </c>
      <c r="D15" s="26" t="s">
        <v>16</v>
      </c>
      <c r="E15" s="27">
        <f t="shared" si="0"/>
        <v>167.88</v>
      </c>
      <c r="F15" s="27">
        <f t="shared" si="1"/>
        <v>0</v>
      </c>
      <c r="G15" s="28">
        <f t="shared" si="2"/>
        <v>167.88</v>
      </c>
      <c r="H15" s="24" t="s">
        <v>26</v>
      </c>
      <c r="I15" s="29" t="s">
        <v>31</v>
      </c>
    </row>
    <row r="16" spans="1:9" x14ac:dyDescent="0.25">
      <c r="A16" s="16" t="s">
        <v>23</v>
      </c>
      <c r="B16" s="17" t="s">
        <v>32</v>
      </c>
      <c r="C16" s="18">
        <f>Hostinger!D9</f>
        <v>39.99</v>
      </c>
      <c r="D16" s="19" t="s">
        <v>16</v>
      </c>
      <c r="E16" s="20">
        <f t="shared" si="0"/>
        <v>479.88</v>
      </c>
      <c r="F16" s="20">
        <f t="shared" si="1"/>
        <v>0</v>
      </c>
      <c r="G16" s="21">
        <f t="shared" si="2"/>
        <v>479.88</v>
      </c>
      <c r="H16" s="17" t="s">
        <v>26</v>
      </c>
      <c r="I16" s="22" t="s">
        <v>33</v>
      </c>
    </row>
    <row r="17" spans="1:9" ht="25.5" x14ac:dyDescent="0.25">
      <c r="A17" s="23" t="s">
        <v>34</v>
      </c>
      <c r="B17" s="24"/>
      <c r="C17" s="25">
        <f>Umbler!B5</f>
        <v>29</v>
      </c>
      <c r="D17" s="26" t="s">
        <v>25</v>
      </c>
      <c r="E17" s="27">
        <f t="shared" si="0"/>
        <v>348</v>
      </c>
      <c r="F17" s="27">
        <f t="shared" si="1"/>
        <v>40</v>
      </c>
      <c r="G17" s="28">
        <f t="shared" si="2"/>
        <v>388</v>
      </c>
      <c r="H17" s="24" t="s">
        <v>35</v>
      </c>
      <c r="I17" s="29" t="s">
        <v>36</v>
      </c>
    </row>
    <row r="18" spans="1:9" x14ac:dyDescent="0.25">
      <c r="A18" s="16" t="s">
        <v>34</v>
      </c>
      <c r="B18" s="17"/>
      <c r="C18" s="18">
        <f>Umbler!B6</f>
        <v>39</v>
      </c>
      <c r="D18" s="19" t="s">
        <v>25</v>
      </c>
      <c r="E18" s="20">
        <f t="shared" si="0"/>
        <v>468</v>
      </c>
      <c r="F18" s="20">
        <f t="shared" si="1"/>
        <v>40</v>
      </c>
      <c r="G18" s="21">
        <f t="shared" si="2"/>
        <v>508</v>
      </c>
      <c r="H18" s="17" t="s">
        <v>35</v>
      </c>
      <c r="I18" s="22" t="s">
        <v>37</v>
      </c>
    </row>
    <row r="19" spans="1:9" x14ac:dyDescent="0.25">
      <c r="A19" s="23" t="s">
        <v>34</v>
      </c>
      <c r="B19" s="24"/>
      <c r="C19" s="25">
        <f>Umbler!B7</f>
        <v>60</v>
      </c>
      <c r="D19" s="26" t="s">
        <v>25</v>
      </c>
      <c r="E19" s="27">
        <f t="shared" si="0"/>
        <v>720</v>
      </c>
      <c r="F19" s="27">
        <f t="shared" si="1"/>
        <v>40</v>
      </c>
      <c r="G19" s="28">
        <f t="shared" si="2"/>
        <v>760</v>
      </c>
      <c r="H19" s="24" t="s">
        <v>35</v>
      </c>
      <c r="I19" s="29"/>
    </row>
    <row r="20" spans="1:9" x14ac:dyDescent="0.25">
      <c r="A20" s="16" t="s">
        <v>34</v>
      </c>
      <c r="B20" s="17"/>
      <c r="C20" s="18">
        <f>Umbler!B8</f>
        <v>195</v>
      </c>
      <c r="D20" s="19" t="s">
        <v>25</v>
      </c>
      <c r="E20" s="20">
        <f t="shared" si="0"/>
        <v>2340</v>
      </c>
      <c r="F20" s="20">
        <f t="shared" si="1"/>
        <v>40</v>
      </c>
      <c r="G20" s="21">
        <f t="shared" si="2"/>
        <v>2380</v>
      </c>
      <c r="H20" s="17" t="s">
        <v>35</v>
      </c>
      <c r="I20" s="22"/>
    </row>
    <row r="21" spans="1:9" x14ac:dyDescent="0.25">
      <c r="A21" s="23" t="s">
        <v>34</v>
      </c>
      <c r="B21" s="24"/>
      <c r="C21" s="25">
        <f>Umbler!B9</f>
        <v>275</v>
      </c>
      <c r="D21" s="26" t="s">
        <v>25</v>
      </c>
      <c r="E21" s="27">
        <f t="shared" si="0"/>
        <v>3300</v>
      </c>
      <c r="F21" s="27">
        <f t="shared" si="1"/>
        <v>40</v>
      </c>
      <c r="G21" s="28">
        <f t="shared" si="2"/>
        <v>3340</v>
      </c>
      <c r="H21" s="24" t="s">
        <v>35</v>
      </c>
      <c r="I21" s="29"/>
    </row>
    <row r="23" spans="1:9" x14ac:dyDescent="0.25">
      <c r="A23" s="30" t="s">
        <v>38</v>
      </c>
      <c r="B23" s="31"/>
      <c r="C23" s="32">
        <f>MIN(G10:G21)</f>
        <v>111.88</v>
      </c>
      <c r="D23" s="30" t="str">
        <f>INDEX(A10:A21,MATCH(C23,G10:G21,0))&amp;" - "&amp;INDEX(B10:B21,MATCH(C23,G10:G21,0))</f>
        <v>Hostinger - Single</v>
      </c>
      <c r="E23" s="31"/>
      <c r="F23" s="31"/>
      <c r="G23" s="31"/>
      <c r="H23" s="31"/>
      <c r="I23" s="31"/>
    </row>
    <row r="25" spans="1:9" x14ac:dyDescent="0.25">
      <c r="A25" s="33" t="s">
        <v>39</v>
      </c>
    </row>
    <row r="26" spans="1:9" ht="27.95" customHeight="1" x14ac:dyDescent="0.25">
      <c r="A26" s="47" t="s">
        <v>40</v>
      </c>
      <c r="B26" s="48"/>
      <c r="C26" s="48"/>
      <c r="D26" s="48"/>
      <c r="E26" s="48"/>
      <c r="F26" s="48"/>
      <c r="G26" s="48"/>
      <c r="H26" s="48"/>
      <c r="I26" s="48"/>
    </row>
    <row r="27" spans="1:9" ht="27.95" customHeight="1" x14ac:dyDescent="0.25">
      <c r="A27" s="47" t="s">
        <v>41</v>
      </c>
      <c r="B27" s="48"/>
      <c r="C27" s="48"/>
      <c r="D27" s="48"/>
      <c r="E27" s="48"/>
      <c r="F27" s="48"/>
      <c r="G27" s="48"/>
      <c r="H27" s="48"/>
      <c r="I27" s="48"/>
    </row>
    <row r="28" spans="1:9" ht="27.95" customHeight="1" x14ac:dyDescent="0.25">
      <c r="A28" s="47" t="s">
        <v>42</v>
      </c>
      <c r="B28" s="48"/>
      <c r="C28" s="48"/>
      <c r="D28" s="48"/>
      <c r="E28" s="48"/>
      <c r="F28" s="48"/>
      <c r="G28" s="48"/>
      <c r="H28" s="48"/>
      <c r="I28" s="48"/>
    </row>
    <row r="29" spans="1:9" ht="27.95" customHeight="1" x14ac:dyDescent="0.25">
      <c r="A29" s="47" t="s">
        <v>43</v>
      </c>
      <c r="B29" s="48"/>
      <c r="C29" s="48"/>
      <c r="D29" s="48"/>
      <c r="E29" s="48"/>
      <c r="F29" s="48"/>
      <c r="G29" s="48"/>
      <c r="H29" s="48"/>
      <c r="I29" s="48"/>
    </row>
    <row r="30" spans="1:9" ht="27.95" customHeight="1" x14ac:dyDescent="0.25">
      <c r="A30" s="47" t="s">
        <v>44</v>
      </c>
      <c r="B30" s="48"/>
      <c r="C30" s="48"/>
      <c r="D30" s="48"/>
      <c r="E30" s="48"/>
      <c r="F30" s="48"/>
      <c r="G30" s="48"/>
      <c r="H30" s="48"/>
      <c r="I30" s="48"/>
    </row>
    <row r="32" spans="1:9" x14ac:dyDescent="0.25">
      <c r="A32" s="33" t="s">
        <v>45</v>
      </c>
    </row>
    <row r="33" spans="1:2" x14ac:dyDescent="0.25">
      <c r="A33" s="34" t="s">
        <v>46</v>
      </c>
      <c r="B33" s="35" t="s">
        <v>47</v>
      </c>
    </row>
    <row r="34" spans="1:2" x14ac:dyDescent="0.25">
      <c r="A34" s="36" t="s">
        <v>48</v>
      </c>
      <c r="B34" s="35" t="s">
        <v>49</v>
      </c>
    </row>
    <row r="35" spans="1:2" x14ac:dyDescent="0.25">
      <c r="A35" s="37" t="s">
        <v>50</v>
      </c>
      <c r="B35" s="35" t="s">
        <v>51</v>
      </c>
    </row>
  </sheetData>
  <mergeCells count="5">
    <mergeCell ref="A29:I29"/>
    <mergeCell ref="A28:I28"/>
    <mergeCell ref="A27:I27"/>
    <mergeCell ref="A26:I26"/>
    <mergeCell ref="A30:I30"/>
  </mergeCells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3" width="12" customWidth="1"/>
    <col min="4" max="4" width="14" customWidth="1"/>
    <col min="5" max="5" width="15" customWidth="1"/>
    <col min="6" max="6" width="13" customWidth="1"/>
    <col min="7" max="7" width="11" customWidth="1"/>
    <col min="8" max="8" width="8" customWidth="1"/>
    <col min="9" max="9" width="14" customWidth="1"/>
    <col min="10" max="10" width="13" customWidth="1"/>
    <col min="11" max="11" width="18" customWidth="1"/>
    <col min="12" max="12" width="12" customWidth="1"/>
  </cols>
  <sheetData>
    <row r="1" spans="1:12" ht="18" x14ac:dyDescent="0.25">
      <c r="A1" s="38" t="s">
        <v>52</v>
      </c>
    </row>
    <row r="2" spans="1:12" x14ac:dyDescent="0.25">
      <c r="A2" s="39" t="s">
        <v>53</v>
      </c>
    </row>
    <row r="3" spans="1:12" x14ac:dyDescent="0.25">
      <c r="A3" s="40" t="s">
        <v>54</v>
      </c>
      <c r="B3" s="41">
        <v>36</v>
      </c>
      <c r="C3" s="42" t="s">
        <v>55</v>
      </c>
    </row>
    <row r="5" spans="1:12" ht="30" customHeight="1" x14ac:dyDescent="0.25">
      <c r="A5" s="43" t="s">
        <v>6</v>
      </c>
      <c r="B5" s="43" t="s">
        <v>56</v>
      </c>
      <c r="C5" s="43" t="s">
        <v>7</v>
      </c>
      <c r="D5" s="43" t="s">
        <v>57</v>
      </c>
      <c r="E5" s="43" t="s">
        <v>58</v>
      </c>
      <c r="F5" s="43" t="s">
        <v>59</v>
      </c>
      <c r="G5" s="43" t="s">
        <v>60</v>
      </c>
      <c r="H5" s="43" t="s">
        <v>61</v>
      </c>
      <c r="I5" s="43" t="s">
        <v>62</v>
      </c>
      <c r="J5" s="43" t="s">
        <v>63</v>
      </c>
      <c r="K5" s="43" t="s">
        <v>64</v>
      </c>
      <c r="L5" s="43" t="s">
        <v>65</v>
      </c>
    </row>
    <row r="6" spans="1:12" x14ac:dyDescent="0.25">
      <c r="A6" s="16" t="s">
        <v>15</v>
      </c>
      <c r="B6" s="44">
        <v>0.78</v>
      </c>
      <c r="C6" s="45">
        <v>10.09</v>
      </c>
      <c r="D6" s="45">
        <v>361.61</v>
      </c>
      <c r="E6" s="45">
        <v>1652.04</v>
      </c>
      <c r="F6" s="45">
        <v>1389.42</v>
      </c>
      <c r="G6" s="19">
        <v>1</v>
      </c>
      <c r="H6" s="46" t="s">
        <v>66</v>
      </c>
      <c r="I6" s="46" t="s">
        <v>67</v>
      </c>
      <c r="J6" s="46" t="s">
        <v>68</v>
      </c>
      <c r="K6" s="46" t="s">
        <v>69</v>
      </c>
      <c r="L6" s="46" t="s">
        <v>70</v>
      </c>
    </row>
    <row r="7" spans="1:12" x14ac:dyDescent="0.25">
      <c r="A7" s="16" t="s">
        <v>19</v>
      </c>
      <c r="B7" s="44">
        <v>0.79</v>
      </c>
      <c r="C7" s="45">
        <v>11.49</v>
      </c>
      <c r="D7" s="45">
        <v>412.17</v>
      </c>
      <c r="E7" s="45">
        <v>2001.24</v>
      </c>
      <c r="F7" s="45">
        <v>1688.06</v>
      </c>
      <c r="G7" s="19">
        <v>2</v>
      </c>
      <c r="H7" s="46" t="s">
        <v>71</v>
      </c>
      <c r="I7" s="46" t="s">
        <v>67</v>
      </c>
      <c r="J7" s="46" t="s">
        <v>72</v>
      </c>
      <c r="K7" s="46" t="s">
        <v>69</v>
      </c>
      <c r="L7" s="46" t="s">
        <v>70</v>
      </c>
    </row>
    <row r="8" spans="1:12" x14ac:dyDescent="0.25">
      <c r="A8" s="16" t="s">
        <v>21</v>
      </c>
      <c r="B8" s="44">
        <v>0.74</v>
      </c>
      <c r="C8" s="45">
        <v>18.690000000000001</v>
      </c>
      <c r="D8" s="45">
        <v>670.22</v>
      </c>
      <c r="E8" s="45">
        <v>2663.64</v>
      </c>
      <c r="F8" s="45">
        <v>2207.4</v>
      </c>
      <c r="G8" s="19">
        <v>3</v>
      </c>
      <c r="H8" s="46" t="s">
        <v>73</v>
      </c>
      <c r="I8" s="46" t="s">
        <v>74</v>
      </c>
      <c r="J8" s="46" t="s">
        <v>75</v>
      </c>
      <c r="K8" s="46" t="s">
        <v>69</v>
      </c>
      <c r="L8" s="46" t="s">
        <v>70</v>
      </c>
    </row>
    <row r="10" spans="1:12" x14ac:dyDescent="0.25">
      <c r="A10" s="39" t="s">
        <v>76</v>
      </c>
    </row>
    <row r="11" spans="1:12" x14ac:dyDescent="0.25">
      <c r="A11" s="39" t="s">
        <v>77</v>
      </c>
    </row>
    <row r="12" spans="1:12" x14ac:dyDescent="0.25">
      <c r="A12" s="39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showGridLines="0" workbookViewId="0"/>
  </sheetViews>
  <sheetFormatPr defaultColWidth="14.42578125" defaultRowHeight="15" customHeight="1" x14ac:dyDescent="0.25"/>
  <cols>
    <col min="1" max="1" width="15" customWidth="1"/>
    <col min="2" max="2" width="10" customWidth="1"/>
    <col min="3" max="3" width="13" customWidth="1"/>
    <col min="4" max="6" width="14" customWidth="1"/>
    <col min="7" max="8" width="13" customWidth="1"/>
    <col min="9" max="9" width="11" customWidth="1"/>
    <col min="10" max="10" width="14" customWidth="1"/>
    <col min="11" max="11" width="16" customWidth="1"/>
    <col min="12" max="12" width="14" customWidth="1"/>
    <col min="13" max="13" width="13" customWidth="1"/>
    <col min="14" max="14" width="8" customWidth="1"/>
    <col min="15" max="15" width="12" customWidth="1"/>
    <col min="16" max="16" width="13" customWidth="1"/>
    <col min="17" max="26" width="8.7109375" customWidth="1"/>
  </cols>
  <sheetData>
    <row r="1" spans="1:16" ht="18" x14ac:dyDescent="0.25">
      <c r="A1" s="1" t="s">
        <v>79</v>
      </c>
    </row>
    <row r="2" spans="1:16" x14ac:dyDescent="0.25">
      <c r="A2" s="2" t="s">
        <v>80</v>
      </c>
    </row>
    <row r="3" spans="1:16" x14ac:dyDescent="0.25">
      <c r="A3" s="13" t="s">
        <v>81</v>
      </c>
      <c r="B3" s="14">
        <v>48</v>
      </c>
    </row>
    <row r="5" spans="1:16" ht="30" customHeight="1" x14ac:dyDescent="0.25">
      <c r="A5" s="7" t="s">
        <v>6</v>
      </c>
      <c r="B5" s="7" t="s">
        <v>56</v>
      </c>
      <c r="C5" s="7" t="s">
        <v>82</v>
      </c>
      <c r="D5" s="7" t="s">
        <v>83</v>
      </c>
      <c r="E5" s="7" t="s">
        <v>84</v>
      </c>
      <c r="F5" s="7" t="s">
        <v>85</v>
      </c>
      <c r="G5" s="7" t="s">
        <v>86</v>
      </c>
      <c r="H5" s="7" t="s">
        <v>87</v>
      </c>
      <c r="I5" s="7" t="s">
        <v>61</v>
      </c>
      <c r="J5" s="7" t="s">
        <v>62</v>
      </c>
      <c r="K5" s="7" t="s">
        <v>88</v>
      </c>
      <c r="L5" s="7" t="s">
        <v>89</v>
      </c>
      <c r="M5" s="7" t="s">
        <v>90</v>
      </c>
      <c r="N5" s="7" t="s">
        <v>91</v>
      </c>
      <c r="O5" s="7" t="s">
        <v>92</v>
      </c>
      <c r="P5" s="7" t="s">
        <v>93</v>
      </c>
    </row>
    <row r="6" spans="1:16" x14ac:dyDescent="0.25">
      <c r="A6" s="8" t="s">
        <v>24</v>
      </c>
      <c r="B6" s="11">
        <v>0.8</v>
      </c>
      <c r="C6" s="10">
        <v>29.99</v>
      </c>
      <c r="D6" s="10">
        <v>5.99</v>
      </c>
      <c r="E6" s="9">
        <f>D6*$B$3</f>
        <v>287.52</v>
      </c>
      <c r="F6" s="9">
        <f>C6*$B$3</f>
        <v>1439.52</v>
      </c>
      <c r="G6" s="9">
        <f>F6-E6</f>
        <v>1152</v>
      </c>
      <c r="H6" s="10">
        <v>23.99</v>
      </c>
      <c r="I6" s="15" t="s">
        <v>66</v>
      </c>
      <c r="J6" s="15" t="s">
        <v>94</v>
      </c>
      <c r="K6" s="15" t="s">
        <v>95</v>
      </c>
      <c r="L6" s="15" t="s">
        <v>96</v>
      </c>
      <c r="M6" s="15" t="s">
        <v>16</v>
      </c>
      <c r="N6" s="15" t="s">
        <v>25</v>
      </c>
      <c r="O6" s="15" t="s">
        <v>25</v>
      </c>
      <c r="P6" s="15" t="s">
        <v>25</v>
      </c>
    </row>
    <row r="7" spans="1:16" x14ac:dyDescent="0.25">
      <c r="A7" s="8" t="s">
        <v>28</v>
      </c>
      <c r="B7" s="11">
        <v>0.76</v>
      </c>
      <c r="C7" s="10">
        <v>45.99</v>
      </c>
      <c r="D7" s="10">
        <v>10.99</v>
      </c>
      <c r="E7" s="9">
        <f>D7*$B$3</f>
        <v>527.52</v>
      </c>
      <c r="F7" s="9">
        <f>C7*$B$3</f>
        <v>2207.52</v>
      </c>
      <c r="G7" s="9">
        <f>F7-E7</f>
        <v>1680</v>
      </c>
      <c r="H7" s="10">
        <v>38.99</v>
      </c>
      <c r="I7" s="15" t="s">
        <v>97</v>
      </c>
      <c r="J7" s="15" t="s">
        <v>98</v>
      </c>
      <c r="K7" s="15" t="s">
        <v>99</v>
      </c>
      <c r="L7" s="15" t="s">
        <v>96</v>
      </c>
      <c r="M7" s="15" t="s">
        <v>16</v>
      </c>
      <c r="N7" s="15" t="s">
        <v>25</v>
      </c>
      <c r="O7" s="15" t="s">
        <v>25</v>
      </c>
      <c r="P7" s="15" t="s">
        <v>25</v>
      </c>
    </row>
    <row r="8" spans="1:16" x14ac:dyDescent="0.25">
      <c r="A8" s="8" t="s">
        <v>30</v>
      </c>
      <c r="B8" s="11">
        <v>0.81</v>
      </c>
      <c r="C8" s="10">
        <v>72.989999999999995</v>
      </c>
      <c r="D8" s="10">
        <v>13.99</v>
      </c>
      <c r="E8" s="9">
        <f>D8*$B$3</f>
        <v>671.52</v>
      </c>
      <c r="F8" s="9">
        <f>C8*$B$3</f>
        <v>3503.5199999999995</v>
      </c>
      <c r="G8" s="9">
        <f>F8-E8</f>
        <v>2831.9999999999995</v>
      </c>
      <c r="H8" s="10">
        <v>64.989999999999995</v>
      </c>
      <c r="I8" s="15" t="s">
        <v>100</v>
      </c>
      <c r="J8" s="15" t="s">
        <v>101</v>
      </c>
      <c r="K8" s="15" t="s">
        <v>99</v>
      </c>
      <c r="L8" s="15" t="s">
        <v>102</v>
      </c>
      <c r="M8" s="15" t="s">
        <v>16</v>
      </c>
      <c r="N8" s="15" t="s">
        <v>16</v>
      </c>
      <c r="O8" s="15" t="s">
        <v>16</v>
      </c>
      <c r="P8" s="15" t="s">
        <v>16</v>
      </c>
    </row>
    <row r="9" spans="1:16" ht="25.5" x14ac:dyDescent="0.25">
      <c r="A9" s="8" t="s">
        <v>32</v>
      </c>
      <c r="B9" s="11">
        <v>0.71</v>
      </c>
      <c r="C9" s="10">
        <v>139.99</v>
      </c>
      <c r="D9" s="10">
        <v>39.99</v>
      </c>
      <c r="E9" s="9">
        <f>D9*$B$3</f>
        <v>1919.52</v>
      </c>
      <c r="F9" s="9">
        <f>C9*$B$3</f>
        <v>6719.52</v>
      </c>
      <c r="G9" s="9">
        <f>F9-E9</f>
        <v>4800</v>
      </c>
      <c r="H9" s="10">
        <v>129.99</v>
      </c>
      <c r="I9" s="15" t="s">
        <v>100</v>
      </c>
      <c r="J9" s="15" t="s">
        <v>67</v>
      </c>
      <c r="K9" s="15" t="s">
        <v>99</v>
      </c>
      <c r="L9" s="15" t="s">
        <v>103</v>
      </c>
      <c r="M9" s="15" t="s">
        <v>16</v>
      </c>
      <c r="N9" s="15" t="s">
        <v>16</v>
      </c>
      <c r="O9" s="15" t="s">
        <v>16</v>
      </c>
      <c r="P9" s="15" t="s">
        <v>16</v>
      </c>
    </row>
    <row r="11" spans="1:16" x14ac:dyDescent="0.25">
      <c r="A11" s="2" t="s">
        <v>104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/>
  </sheetViews>
  <sheetFormatPr defaultColWidth="14.42578125" defaultRowHeight="15" customHeight="1" x14ac:dyDescent="0.25"/>
  <cols>
    <col min="1" max="1" width="15" customWidth="1"/>
    <col min="2" max="2" width="12" customWidth="1"/>
    <col min="3" max="3" width="14" customWidth="1"/>
    <col min="4" max="4" width="10" customWidth="1"/>
    <col min="5" max="5" width="11" customWidth="1"/>
    <col min="6" max="6" width="10" customWidth="1"/>
    <col min="7" max="7" width="15" customWidth="1"/>
    <col min="8" max="8" width="14" customWidth="1"/>
    <col min="9" max="26" width="8.7109375" customWidth="1"/>
  </cols>
  <sheetData>
    <row r="1" spans="1:8" ht="18" x14ac:dyDescent="0.25">
      <c r="A1" s="1" t="s">
        <v>105</v>
      </c>
    </row>
    <row r="2" spans="1:8" x14ac:dyDescent="0.25">
      <c r="A2" s="2" t="s">
        <v>106</v>
      </c>
    </row>
    <row r="4" spans="1:8" ht="30" customHeight="1" x14ac:dyDescent="0.25">
      <c r="A4" s="7" t="s">
        <v>6</v>
      </c>
      <c r="B4" s="7" t="s">
        <v>7</v>
      </c>
      <c r="C4" s="7" t="s">
        <v>107</v>
      </c>
      <c r="D4" s="7" t="s">
        <v>108</v>
      </c>
      <c r="E4" s="7" t="s">
        <v>109</v>
      </c>
      <c r="F4" s="7" t="s">
        <v>110</v>
      </c>
      <c r="G4" s="7" t="s">
        <v>111</v>
      </c>
      <c r="H4" s="7" t="s">
        <v>112</v>
      </c>
    </row>
    <row r="5" spans="1:8" x14ac:dyDescent="0.25">
      <c r="A5" s="8" t="s">
        <v>113</v>
      </c>
      <c r="B5" s="10">
        <v>29</v>
      </c>
      <c r="C5" s="9">
        <f>B5*12</f>
        <v>348</v>
      </c>
      <c r="D5" s="12" t="s">
        <v>114</v>
      </c>
      <c r="E5" s="12" t="s">
        <v>115</v>
      </c>
      <c r="F5" s="12" t="s">
        <v>116</v>
      </c>
      <c r="G5" s="12" t="s">
        <v>115</v>
      </c>
      <c r="H5" s="12"/>
    </row>
    <row r="6" spans="1:8" x14ac:dyDescent="0.25">
      <c r="A6" s="8" t="s">
        <v>117</v>
      </c>
      <c r="B6" s="10">
        <v>39</v>
      </c>
      <c r="C6" s="9">
        <f>B6*12</f>
        <v>468</v>
      </c>
      <c r="D6" s="12" t="s">
        <v>115</v>
      </c>
      <c r="E6" s="12" t="s">
        <v>118</v>
      </c>
      <c r="F6" s="12" t="s">
        <v>116</v>
      </c>
      <c r="G6" s="12" t="s">
        <v>115</v>
      </c>
      <c r="H6" s="12" t="s">
        <v>119</v>
      </c>
    </row>
    <row r="7" spans="1:8" x14ac:dyDescent="0.25">
      <c r="A7" s="8" t="s">
        <v>120</v>
      </c>
      <c r="B7" s="10">
        <v>60</v>
      </c>
      <c r="C7" s="9">
        <f>B7*12</f>
        <v>720</v>
      </c>
      <c r="D7" s="12" t="s">
        <v>121</v>
      </c>
      <c r="E7" s="12" t="s">
        <v>122</v>
      </c>
      <c r="F7" s="12" t="s">
        <v>123</v>
      </c>
      <c r="G7" s="12" t="s">
        <v>115</v>
      </c>
      <c r="H7" s="12"/>
    </row>
    <row r="8" spans="1:8" x14ac:dyDescent="0.25">
      <c r="A8" s="8" t="s">
        <v>124</v>
      </c>
      <c r="B8" s="10">
        <v>195</v>
      </c>
      <c r="C8" s="9">
        <f>B8*12</f>
        <v>2340</v>
      </c>
      <c r="D8" s="12" t="s">
        <v>125</v>
      </c>
      <c r="E8" s="12" t="s">
        <v>126</v>
      </c>
      <c r="F8" s="12" t="s">
        <v>127</v>
      </c>
      <c r="G8" s="12" t="s">
        <v>115</v>
      </c>
      <c r="H8" s="12"/>
    </row>
    <row r="9" spans="1:8" x14ac:dyDescent="0.25">
      <c r="A9" s="8" t="s">
        <v>128</v>
      </c>
      <c r="B9" s="10">
        <v>275</v>
      </c>
      <c r="C9" s="9">
        <f>B9*12</f>
        <v>3300</v>
      </c>
      <c r="D9" s="12" t="s">
        <v>129</v>
      </c>
      <c r="E9" s="12" t="s">
        <v>126</v>
      </c>
      <c r="F9" s="12" t="s">
        <v>130</v>
      </c>
      <c r="G9" s="12" t="s">
        <v>115</v>
      </c>
      <c r="H9" s="12"/>
    </row>
    <row r="11" spans="1:8" x14ac:dyDescent="0.25">
      <c r="A11" s="2" t="s">
        <v>131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HostGator</vt:lpstr>
      <vt:lpstr>Hostinger</vt:lpstr>
      <vt:lpstr>Umbler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KEVIN SERAFIM</cp:lastModifiedBy>
  <dcterms:created xsi:type="dcterms:W3CDTF">2026-10-15T00:11:59Z</dcterms:created>
  <dcterms:modified xsi:type="dcterms:W3CDTF">2026-10-15T00:12:04Z</dcterms:modified>
</cp:coreProperties>
</file>